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kuckert/env/llama-benchy/2026-05-20/"/>
    </mc:Choice>
  </mc:AlternateContent>
  <xr:revisionPtr revIDLastSave="0" documentId="13_ncr:1_{0C024161-0B9C-9749-B8C5-D056EF607E65}" xr6:coauthVersionLast="47" xr6:coauthVersionMax="47" xr10:uidLastSave="{00000000-0000-0000-0000-000000000000}"/>
  <bookViews>
    <workbookView xWindow="34400" yWindow="600" windowWidth="34400" windowHeight="27060" xr2:uid="{ECA7D1D6-1ED2-9748-A665-57B5A533DFBE}"/>
  </bookViews>
  <sheets>
    <sheet name="benchmark" sheetId="1" r:id="rId1"/>
    <sheet name="mtplx" sheetId="2" r:id="rId2"/>
    <sheet name="mlx_lm" sheetId="3" r:id="rId3"/>
    <sheet name="llama.cpp" sheetId="4" r:id="rId4"/>
  </sheets>
  <definedNames>
    <definedName name="ExternalData_1" localSheetId="3" hidden="1">llama.cpp!$A$1:$P$21</definedName>
    <definedName name="ExternalData_1" localSheetId="2" hidden="1">mlx_lm!$A$1:$P$21</definedName>
    <definedName name="ExternalData_1" localSheetId="1" hidden="1">mtplx!$A$1:$P$9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1" l="1"/>
  <c r="M3" i="1"/>
  <c r="L4" i="1"/>
  <c r="M4" i="1"/>
  <c r="L5" i="1"/>
  <c r="M5" i="1"/>
  <c r="L6" i="1"/>
  <c r="M6" i="1"/>
  <c r="L7" i="1"/>
  <c r="M7" i="1"/>
  <c r="L8" i="1"/>
  <c r="M8" i="1"/>
  <c r="L9" i="1"/>
  <c r="M9" i="1"/>
  <c r="M2" i="1"/>
  <c r="L2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I2" i="1"/>
  <c r="H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E2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9709C6-98CB-EA49-8289-FAFAFABF9D3A}" keepAlive="1" name="Query - 2026-05-20-15-26-mtplx-qwen36-27b-optimized-speed" description="Connection to the '2026-05-20-15-26-mtplx-qwen36-27b-optimized-speed' query in the workbook." type="5" refreshedVersion="8" background="1" saveData="1">
    <dbPr connection="Provider=Microsoft.Mashup.OleDb.1;Data Source=$Workbook$;Location=2026-05-20-15-26-mtplx-qwen36-27b-optimized-speed;Extended Properties=&quot;&quot;" command="SELECT * FROM [2026-05-20-15-26-mtplx-qwen36-27b-optimized-speed]"/>
  </connection>
  <connection id="2" xr16:uid="{2C89DB23-9DFF-554A-B097-022D4E01076F}" keepAlive="1" name="Query - 2026-05-20-18-17-mlx_lm-mlx-community_Qwen3 6-27B-4bit" description="Connection to the '2026-05-20-18-17-mlx_lm-mlx-community_Qwen3 6-27B-4bit' query in the workbook." type="5" refreshedVersion="8" background="1" saveData="1">
    <dbPr connection="Provider=Microsoft.Mashup.OleDb.1;Data Source=$Workbook$;Location=&quot;2026-05-20-18-17-mlx_lm-mlx-community_Qwen3 6-27B-4bit&quot;;Extended Properties=&quot;&quot;" command="SELECT * FROM [2026-05-20-18-17-mlx_lm-mlx-community_Qwen3 6-27B-4bit]"/>
  </connection>
  <connection id="3" xr16:uid="{1FF21383-126F-F54A-A6B7-3F7473E81CD7}" keepAlive="1" name="Query - 2026-05-20-19-38-llama cpp-Qwen3 6-27B-Q4_K_M-MTP-Instruct" description="Connection to the '2026-05-20-19-38-llama cpp-Qwen3 6-27B-Q4_K_M-MTP-Instruct' query in the workbook." type="5" refreshedVersion="8" background="1" saveData="1">
    <dbPr connection="Provider=Microsoft.Mashup.OleDb.1;Data Source=$Workbook$;Location=&quot;2026-05-20-19-38-llama cpp-Qwen3 6-27B-Q4_K_M-MTP-Instruct&quot;;Extended Properties=&quot;&quot;" command="SELECT * FROM [2026-05-20-19-38-llama cpp-Qwen3 6-27B-Q4_K_M-MTP-Instruct]"/>
  </connection>
</connections>
</file>

<file path=xl/sharedStrings.xml><?xml version="1.0" encoding="utf-8"?>
<sst xmlns="http://schemas.openxmlformats.org/spreadsheetml/2006/main" count="221" uniqueCount="53">
  <si>
    <t>model</t>
  </si>
  <si>
    <t>test_name</t>
  </si>
  <si>
    <t>t_s_mean</t>
  </si>
  <si>
    <t>t_s_std</t>
  </si>
  <si>
    <t>t_s_req_mean</t>
  </si>
  <si>
    <t>t_s_req_std</t>
  </si>
  <si>
    <t>peak_ts_mean</t>
  </si>
  <si>
    <t>peak_ts_std</t>
  </si>
  <si>
    <t>peak_ts_req_mean</t>
  </si>
  <si>
    <t>peak_ts_req_std</t>
  </si>
  <si>
    <t>ttfr_mean</t>
  </si>
  <si>
    <t>ttfr_std</t>
  </si>
  <si>
    <t>est_ppt_mean</t>
  </si>
  <si>
    <t>est_ppt_std</t>
  </si>
  <si>
    <t>e2e_ttft_mean</t>
  </si>
  <si>
    <t>e2e_ttft_std</t>
  </si>
  <si>
    <t>mtplx-qwen36-27b-optimized-speed</t>
  </si>
  <si>
    <t>tg32</t>
  </si>
  <si>
    <t/>
  </si>
  <si>
    <t>tg1024</t>
  </si>
  <si>
    <t>ctx_tg @ d1024</t>
  </si>
  <si>
    <t>tg1024 @ d1024</t>
  </si>
  <si>
    <t>ctx_tg @ d8192</t>
  </si>
  <si>
    <t>tg32 @ d8192</t>
  </si>
  <si>
    <t>tg1024 @ d8192</t>
  </si>
  <si>
    <t>mlx-community/Qwen3.6-27B-4bit</t>
  </si>
  <si>
    <t>pp2048</t>
  </si>
  <si>
    <t>ctx_pp @ d1024</t>
  </si>
  <si>
    <t>pp2048 @ d1024</t>
  </si>
  <si>
    <t>tg32 @ d1024</t>
  </si>
  <si>
    <t>ctx_pp @ d8192</t>
  </si>
  <si>
    <t>pp2048 @ d8192</t>
  </si>
  <si>
    <t>Qwen3.6-27B-Q4_K_M-MTP-Instruct</t>
  </si>
  <si>
    <t>mtplx t_s_mean</t>
  </si>
  <si>
    <t>mtplx t_s_std</t>
  </si>
  <si>
    <t>mlx_lm t_s_mean</t>
  </si>
  <si>
    <t>mlx_lm t_s_std</t>
  </si>
  <si>
    <t>llama.cpp t_s_mean</t>
  </si>
  <si>
    <t>llama.cpp t_s_std</t>
  </si>
  <si>
    <t>mtplx_upper</t>
  </si>
  <si>
    <t>mtplx_lower</t>
  </si>
  <si>
    <t>mlx_lm_upper</t>
  </si>
  <si>
    <t>mlx_lm_lower</t>
  </si>
  <si>
    <t>llama.cpp_upper</t>
  </si>
  <si>
    <t>llama.cpp_lower</t>
  </si>
  <si>
    <t>Model Name: MacBook Pro</t>
  </si>
  <si>
    <t>Model Identifier: Mac17,8</t>
  </si>
  <si>
    <t>Chip: Apple M5 Pro</t>
  </si>
  <si>
    <t>Total Number of Cores: 18 (6 Super and 12 Performance)</t>
  </si>
  <si>
    <t>Memory: 48 GB</t>
  </si>
  <si>
    <t>System Firmware Version: 18000.120.36</t>
  </si>
  <si>
    <t>OS Loader Version: 18000.120.36</t>
  </si>
  <si>
    <t>Model Number:	MGEC4D/A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</si>
</sst>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2" borderId="0" xfId="0" applyFont="1" applyFill="1"/>
    <xf numFmtId="2" fontId="0" fillId="2" borderId="0" xfId="0" applyNumberFormat="1" applyFill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local LLM Inference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benchmark!$D$1</c:f>
              <c:strCache>
                <c:ptCount val="1"/>
                <c:pt idx="0">
                  <c:v>mtplx_upper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benchmark!$A$2:$A$9</c:f>
              <c:strCache>
                <c:ptCount val="5"/>
                <c:pt idx="0">
                  <c:v>tg32</c:v>
                </c:pt>
                <c:pt idx="1">
                  <c:v>tg1024</c:v>
                </c:pt>
                <c:pt idx="2">
                  <c:v>tg1024 @ d1024</c:v>
                </c:pt>
                <c:pt idx="3">
                  <c:v>tg32 @ d8192</c:v>
                </c:pt>
                <c:pt idx="4">
                  <c:v>tg1024 @ d8192</c:v>
                </c:pt>
              </c:strCache>
            </c:strRef>
          </c:cat>
          <c:val>
            <c:numRef>
              <c:f>benchmark!$D$2:$D$9</c:f>
              <c:numCache>
                <c:formatCode>0.00</c:formatCode>
                <c:ptCount val="5"/>
                <c:pt idx="0">
                  <c:v>78.262784575640865</c:v>
                </c:pt>
                <c:pt idx="1">
                  <c:v>53.270406107131514</c:v>
                </c:pt>
                <c:pt idx="2">
                  <c:v>56.330184800855925</c:v>
                </c:pt>
                <c:pt idx="3">
                  <c:v>73.673967990866643</c:v>
                </c:pt>
                <c:pt idx="4">
                  <c:v>52.612451937183195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2D-834F-9387-A3716AF90416}"/>
            </c:ext>
          </c:extLst>
        </c:ser>
        <c:ser>
          <c:idx val="1"/>
          <c:order val="1"/>
          <c:tx>
            <c:strRef>
              <c:f>benchmark!$E$1</c:f>
              <c:strCache>
                <c:ptCount val="1"/>
                <c:pt idx="0">
                  <c:v>mtplx_lower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benchmark!$A$2:$A$9</c:f>
              <c:strCache>
                <c:ptCount val="5"/>
                <c:pt idx="0">
                  <c:v>tg32</c:v>
                </c:pt>
                <c:pt idx="1">
                  <c:v>tg1024</c:v>
                </c:pt>
                <c:pt idx="2">
                  <c:v>tg1024 @ d1024</c:v>
                </c:pt>
                <c:pt idx="3">
                  <c:v>tg32 @ d8192</c:v>
                </c:pt>
                <c:pt idx="4">
                  <c:v>tg1024 @ d8192</c:v>
                </c:pt>
              </c:strCache>
            </c:strRef>
          </c:cat>
          <c:val>
            <c:numRef>
              <c:f>benchmark!$E$2:$E$9</c:f>
              <c:numCache>
                <c:formatCode>0.00</c:formatCode>
                <c:ptCount val="5"/>
                <c:pt idx="0">
                  <c:v>63.712316354691808</c:v>
                </c:pt>
                <c:pt idx="1">
                  <c:v>46.841620032479078</c:v>
                </c:pt>
                <c:pt idx="2">
                  <c:v>48.973050346198598</c:v>
                </c:pt>
                <c:pt idx="3">
                  <c:v>70.463466294442426</c:v>
                </c:pt>
                <c:pt idx="4">
                  <c:v>49.271478234657451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2D-834F-9387-A3716AF90416}"/>
            </c:ext>
          </c:extLst>
        </c:ser>
        <c:ser>
          <c:idx val="2"/>
          <c:order val="2"/>
          <c:tx>
            <c:strRef>
              <c:f>benchmark!$H$1</c:f>
              <c:strCache>
                <c:ptCount val="1"/>
                <c:pt idx="0">
                  <c:v>mlx_lm_upper</c:v>
                </c:pt>
              </c:strCache>
            </c:strRef>
          </c:tx>
          <c:spPr>
            <a:ln w="2857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benchmark!$A$2:$A$9</c:f>
              <c:strCache>
                <c:ptCount val="5"/>
                <c:pt idx="0">
                  <c:v>tg32</c:v>
                </c:pt>
                <c:pt idx="1">
                  <c:v>tg1024</c:v>
                </c:pt>
                <c:pt idx="2">
                  <c:v>tg1024 @ d1024</c:v>
                </c:pt>
                <c:pt idx="3">
                  <c:v>tg32 @ d8192</c:v>
                </c:pt>
                <c:pt idx="4">
                  <c:v>tg1024 @ d8192</c:v>
                </c:pt>
              </c:strCache>
            </c:strRef>
          </c:cat>
          <c:val>
            <c:numRef>
              <c:f>benchmark!$H$2:$H$9</c:f>
              <c:numCache>
                <c:formatCode>0.00</c:formatCode>
                <c:ptCount val="5"/>
                <c:pt idx="0">
                  <c:v>15.432925877207449</c:v>
                </c:pt>
                <c:pt idx="1">
                  <c:v>15.299617843928951</c:v>
                </c:pt>
                <c:pt idx="2">
                  <c:v>15.223780913077837</c:v>
                </c:pt>
                <c:pt idx="3">
                  <c:v>14.907883859598908</c:v>
                </c:pt>
                <c:pt idx="4">
                  <c:v>14.737051023402106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2D-834F-9387-A3716AF90416}"/>
            </c:ext>
          </c:extLst>
        </c:ser>
        <c:ser>
          <c:idx val="3"/>
          <c:order val="3"/>
          <c:tx>
            <c:strRef>
              <c:f>benchmark!$I$1</c:f>
              <c:strCache>
                <c:ptCount val="1"/>
                <c:pt idx="0">
                  <c:v>mlx_lm_lower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benchmark!$A$2:$A$9</c:f>
              <c:strCache>
                <c:ptCount val="5"/>
                <c:pt idx="0">
                  <c:v>tg32</c:v>
                </c:pt>
                <c:pt idx="1">
                  <c:v>tg1024</c:v>
                </c:pt>
                <c:pt idx="2">
                  <c:v>tg1024 @ d1024</c:v>
                </c:pt>
                <c:pt idx="3">
                  <c:v>tg32 @ d8192</c:v>
                </c:pt>
                <c:pt idx="4">
                  <c:v>tg1024 @ d8192</c:v>
                </c:pt>
              </c:strCache>
            </c:strRef>
          </c:cat>
          <c:val>
            <c:numRef>
              <c:f>benchmark!$I$2:$I$9</c:f>
              <c:numCache>
                <c:formatCode>0.00</c:formatCode>
                <c:ptCount val="5"/>
                <c:pt idx="0">
                  <c:v>15.406035662100894</c:v>
                </c:pt>
                <c:pt idx="1">
                  <c:v>15.278496336647811</c:v>
                </c:pt>
                <c:pt idx="2">
                  <c:v>15.209314931991932</c:v>
                </c:pt>
                <c:pt idx="3">
                  <c:v>14.799000793621225</c:v>
                </c:pt>
                <c:pt idx="4">
                  <c:v>14.716926836306847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2D-834F-9387-A3716AF90416}"/>
            </c:ext>
          </c:extLst>
        </c:ser>
        <c:ser>
          <c:idx val="4"/>
          <c:order val="4"/>
          <c:tx>
            <c:strRef>
              <c:f>benchmark!$L$1</c:f>
              <c:strCache>
                <c:ptCount val="1"/>
                <c:pt idx="0">
                  <c:v>llama.cpp_upper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001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benchmark!$A$2:$A$9</c:f>
              <c:strCache>
                <c:ptCount val="5"/>
                <c:pt idx="0">
                  <c:v>tg32</c:v>
                </c:pt>
                <c:pt idx="1">
                  <c:v>tg1024</c:v>
                </c:pt>
                <c:pt idx="2">
                  <c:v>tg1024 @ d1024</c:v>
                </c:pt>
                <c:pt idx="3">
                  <c:v>tg32 @ d8192</c:v>
                </c:pt>
                <c:pt idx="4">
                  <c:v>tg1024 @ d8192</c:v>
                </c:pt>
              </c:strCache>
            </c:strRef>
          </c:cat>
          <c:val>
            <c:numRef>
              <c:f>benchmark!$L$2:$L$9</c:f>
              <c:numCache>
                <c:formatCode>0.00</c:formatCode>
                <c:ptCount val="5"/>
                <c:pt idx="0">
                  <c:v>28.25944124644543</c:v>
                </c:pt>
                <c:pt idx="1">
                  <c:v>20.321939035215269</c:v>
                </c:pt>
                <c:pt idx="2">
                  <c:v>22.160001157508503</c:v>
                </c:pt>
                <c:pt idx="3">
                  <c:v>22.13242513307959</c:v>
                </c:pt>
                <c:pt idx="4">
                  <c:v>19.750781023443388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2D-834F-9387-A3716AF90416}"/>
            </c:ext>
          </c:extLst>
        </c:ser>
        <c:ser>
          <c:idx val="5"/>
          <c:order val="5"/>
          <c:tx>
            <c:strRef>
              <c:f>benchmark!$M$1</c:f>
              <c:strCache>
                <c:ptCount val="1"/>
                <c:pt idx="0">
                  <c:v>llama.cpp_lower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benchmark!$A$2:$A$9</c:f>
              <c:strCache>
                <c:ptCount val="5"/>
                <c:pt idx="0">
                  <c:v>tg32</c:v>
                </c:pt>
                <c:pt idx="1">
                  <c:v>tg1024</c:v>
                </c:pt>
                <c:pt idx="2">
                  <c:v>tg1024 @ d1024</c:v>
                </c:pt>
                <c:pt idx="3">
                  <c:v>tg32 @ d8192</c:v>
                </c:pt>
                <c:pt idx="4">
                  <c:v>tg1024 @ d8192</c:v>
                </c:pt>
              </c:strCache>
            </c:strRef>
          </c:cat>
          <c:val>
            <c:numRef>
              <c:f>benchmark!$M$2:$M$9</c:f>
              <c:numCache>
                <c:formatCode>0.00</c:formatCode>
                <c:ptCount val="5"/>
                <c:pt idx="0">
                  <c:v>19.278926739623724</c:v>
                </c:pt>
                <c:pt idx="1">
                  <c:v>17.733831242197436</c:v>
                </c:pt>
                <c:pt idx="2">
                  <c:v>20.800018423359241</c:v>
                </c:pt>
                <c:pt idx="3">
                  <c:v>18.070341944706168</c:v>
                </c:pt>
                <c:pt idx="4">
                  <c:v>17.927006580616613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A2D-834F-9387-A3716AF90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650304"/>
        <c:axId val="119642240"/>
      </c:lineChart>
      <c:catAx>
        <c:axId val="119650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0" baseline="0"/>
                  <a:t>test</a:t>
                </a:r>
              </a:p>
            </c:rich>
          </c:tx>
          <c:layout>
            <c:manualLayout>
              <c:xMode val="edge"/>
              <c:yMode val="edge"/>
              <c:x val="0.95914873448482518"/>
              <c:y val="0.899003624407755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19642240"/>
        <c:crosses val="autoZero"/>
        <c:auto val="1"/>
        <c:lblAlgn val="ctr"/>
        <c:lblOffset val="100"/>
        <c:noMultiLvlLbl val="0"/>
      </c:catAx>
      <c:valAx>
        <c:axId val="11964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i="0" baseline="0"/>
                  <a:t>t/s</a:t>
                </a:r>
              </a:p>
            </c:rich>
          </c:tx>
          <c:layout>
            <c:manualLayout>
              <c:xMode val="edge"/>
              <c:yMode val="edge"/>
              <c:x val="1.2211786113144952E-2"/>
              <c:y val="2.520393014816943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001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1965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64476</xdr:rowOff>
    </xdr:from>
    <xdr:to>
      <xdr:col>12</xdr:col>
      <xdr:colOff>781538</xdr:colOff>
      <xdr:row>29</xdr:row>
      <xdr:rowOff>78154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75E9E2-D970-8A07-6CF8-C132E89189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C744E87-3F71-D249-8637-76D2CCD5C654}" autoFormatId="16" applyNumberFormats="0" applyBorderFormats="0" applyFontFormats="0" applyPatternFormats="0" applyAlignmentFormats="0" applyWidthHeightFormats="0">
  <queryTableRefresh nextId="17">
    <queryTableFields count="16">
      <queryTableField id="1" name="model" tableColumnId="1"/>
      <queryTableField id="2" name="test_name" tableColumnId="2"/>
      <queryTableField id="3" name="t_s_mean" tableColumnId="3"/>
      <queryTableField id="4" name="t_s_std" tableColumnId="4"/>
      <queryTableField id="5" name="t_s_req_mean" tableColumnId="5"/>
      <queryTableField id="6" name="t_s_req_std" tableColumnId="6"/>
      <queryTableField id="7" name="peak_ts_mean" tableColumnId="7"/>
      <queryTableField id="8" name="peak_ts_std" tableColumnId="8"/>
      <queryTableField id="9" name="peak_ts_req_mean" tableColumnId="9"/>
      <queryTableField id="10" name="peak_ts_req_std" tableColumnId="10"/>
      <queryTableField id="11" name="ttfr_mean" tableColumnId="11"/>
      <queryTableField id="12" name="ttfr_std" tableColumnId="12"/>
      <queryTableField id="13" name="est_ppt_mean" tableColumnId="13"/>
      <queryTableField id="14" name="est_ppt_std" tableColumnId="14"/>
      <queryTableField id="15" name="e2e_ttft_mean" tableColumnId="15"/>
      <queryTableField id="16" name="e2e_ttft_std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86E045A-6399-264E-B8D4-D753B467BB84}" autoFormatId="16" applyNumberFormats="0" applyBorderFormats="0" applyFontFormats="0" applyPatternFormats="0" applyAlignmentFormats="0" applyWidthHeightFormats="0">
  <queryTableRefresh nextId="17">
    <queryTableFields count="16">
      <queryTableField id="1" name="model" tableColumnId="1"/>
      <queryTableField id="2" name="test_name" tableColumnId="2"/>
      <queryTableField id="3" name="t_s_mean" tableColumnId="3"/>
      <queryTableField id="4" name="t_s_std" tableColumnId="4"/>
      <queryTableField id="5" name="t_s_req_mean" tableColumnId="5"/>
      <queryTableField id="6" name="t_s_req_std" tableColumnId="6"/>
      <queryTableField id="7" name="peak_ts_mean" tableColumnId="7"/>
      <queryTableField id="8" name="peak_ts_std" tableColumnId="8"/>
      <queryTableField id="9" name="peak_ts_req_mean" tableColumnId="9"/>
      <queryTableField id="10" name="peak_ts_req_std" tableColumnId="10"/>
      <queryTableField id="11" name="ttfr_mean" tableColumnId="11"/>
      <queryTableField id="12" name="ttfr_std" tableColumnId="12"/>
      <queryTableField id="13" name="est_ppt_mean" tableColumnId="13"/>
      <queryTableField id="14" name="est_ppt_std" tableColumnId="14"/>
      <queryTableField id="15" name="e2e_ttft_mean" tableColumnId="15"/>
      <queryTableField id="16" name="e2e_ttft_std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8FBA4DC-14D8-1248-885A-B67E43E32E2F}" autoFormatId="16" applyNumberFormats="0" applyBorderFormats="0" applyFontFormats="0" applyPatternFormats="0" applyAlignmentFormats="0" applyWidthHeightFormats="0">
  <queryTableRefresh nextId="17">
    <queryTableFields count="16">
      <queryTableField id="1" name="model" tableColumnId="1"/>
      <queryTableField id="2" name="test_name" tableColumnId="2"/>
      <queryTableField id="3" name="t_s_mean" tableColumnId="3"/>
      <queryTableField id="4" name="t_s_std" tableColumnId="4"/>
      <queryTableField id="5" name="t_s_req_mean" tableColumnId="5"/>
      <queryTableField id="6" name="t_s_req_std" tableColumnId="6"/>
      <queryTableField id="7" name="peak_ts_mean" tableColumnId="7"/>
      <queryTableField id="8" name="peak_ts_std" tableColumnId="8"/>
      <queryTableField id="9" name="peak_ts_req_mean" tableColumnId="9"/>
      <queryTableField id="10" name="peak_ts_req_std" tableColumnId="10"/>
      <queryTableField id="11" name="ttfr_mean" tableColumnId="11"/>
      <queryTableField id="12" name="ttfr_std" tableColumnId="12"/>
      <queryTableField id="13" name="est_ppt_mean" tableColumnId="13"/>
      <queryTableField id="14" name="est_ppt_std" tableColumnId="14"/>
      <queryTableField id="15" name="e2e_ttft_mean" tableColumnId="15"/>
      <queryTableField id="16" name="e2e_ttft_std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A7F10E-BBF4-5D4D-B223-F941872DF126}" name="_2026_05_20_15_26_mtplx_qwen36_27b_optimized_speed" displayName="_2026_05_20_15_26_mtplx_qwen36_27b_optimized_speed" ref="A1:P9" tableType="queryTable" totalsRowShown="0">
  <autoFilter ref="A1:P9" xr:uid="{E6A7F10E-BBF4-5D4D-B223-F941872DF126}"/>
  <tableColumns count="16">
    <tableColumn id="1" xr3:uid="{1A93E8C1-8DF5-9745-B597-EAECA5B17BD4}" uniqueName="1" name="model" queryTableFieldId="1" dataDxfId="11"/>
    <tableColumn id="2" xr3:uid="{6220BAAE-984D-084A-BCF7-84E57A5B628A}" uniqueName="2" name="test_name" queryTableFieldId="2" dataDxfId="10"/>
    <tableColumn id="3" xr3:uid="{B31725E8-6FF2-1547-8BB7-3E949F4E68ED}" uniqueName="3" name="t_s_mean" queryTableFieldId="3"/>
    <tableColumn id="4" xr3:uid="{C092C685-CBFE-E24C-AB18-5F359400E10D}" uniqueName="4" name="t_s_std" queryTableFieldId="4"/>
    <tableColumn id="5" xr3:uid="{3B844F8D-8113-8D4E-9682-9AB56E0B9143}" uniqueName="5" name="t_s_req_mean" queryTableFieldId="5"/>
    <tableColumn id="6" xr3:uid="{72F43F1D-4202-294D-8DFA-8781EB69BF2E}" uniqueName="6" name="t_s_req_std" queryTableFieldId="6"/>
    <tableColumn id="7" xr3:uid="{248EE274-ABFE-3246-A1F8-D755C3F09D76}" uniqueName="7" name="peak_ts_mean" queryTableFieldId="7"/>
    <tableColumn id="8" xr3:uid="{2177738C-5710-3541-B546-A10802896FBA}" uniqueName="8" name="peak_ts_std" queryTableFieldId="8"/>
    <tableColumn id="9" xr3:uid="{20562BF5-2CC2-7848-A477-C74588E36A39}" uniqueName="9" name="peak_ts_req_mean" queryTableFieldId="9"/>
    <tableColumn id="10" xr3:uid="{1BEEFD9B-987E-3E41-BB0C-7D070A7768E3}" uniqueName="10" name="peak_ts_req_std" queryTableFieldId="10"/>
    <tableColumn id="11" xr3:uid="{E45BE712-BC36-0344-86EA-CD4F768FBC6D}" uniqueName="11" name="ttfr_mean" queryTableFieldId="11" dataDxfId="9"/>
    <tableColumn id="12" xr3:uid="{5B173C57-5EC3-4A48-8C7C-7943B6E096B5}" uniqueName="12" name="ttfr_std" queryTableFieldId="12" dataDxfId="8"/>
    <tableColumn id="13" xr3:uid="{882C8058-F331-B242-A353-4CCCEC1EA112}" uniqueName="13" name="est_ppt_mean" queryTableFieldId="13" dataDxfId="7"/>
    <tableColumn id="14" xr3:uid="{53CB6646-F719-6D4E-829D-501CDBA2B483}" uniqueName="14" name="est_ppt_std" queryTableFieldId="14" dataDxfId="6"/>
    <tableColumn id="15" xr3:uid="{D6329191-EADE-4145-8559-C1103AC04821}" uniqueName="15" name="e2e_ttft_mean" queryTableFieldId="15" dataDxfId="5"/>
    <tableColumn id="16" xr3:uid="{68AA7972-8F3E-1E4F-AF9A-2FA32EC16DB0}" uniqueName="16" name="e2e_ttft_std" queryTableFieldId="16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915FDA-F374-4A4B-BF90-881EF3AD58E1}" name="_2026_05_20_18_17_mlx_lm_mlx_community_Qwen3_6_27B_4bit" displayName="_2026_05_20_18_17_mlx_lm_mlx_community_Qwen3_6_27B_4bit" ref="A1:P21" tableType="queryTable" totalsRowShown="0">
  <autoFilter ref="A1:P21" xr:uid="{C7915FDA-F374-4A4B-BF90-881EF3AD58E1}">
    <filterColumn colId="1">
      <filters>
        <filter val="ctx_tg @ d1024"/>
        <filter val="ctx_tg @ d8192"/>
        <filter val="tg1024"/>
        <filter val="tg1024 @ d1024"/>
        <filter val="tg1024 @ d8192"/>
        <filter val="tg32"/>
        <filter val="tg32 @ d8192"/>
      </filters>
    </filterColumn>
  </autoFilter>
  <tableColumns count="16">
    <tableColumn id="1" xr3:uid="{4BFB47E5-3CFE-8A4E-ACE8-7CD3FDFE8B3C}" uniqueName="1" name="model" queryTableFieldId="1" dataDxfId="3"/>
    <tableColumn id="2" xr3:uid="{84E0A79F-385C-5D46-B6B7-E3DE193DA0F2}" uniqueName="2" name="test_name" queryTableFieldId="2" dataDxfId="2"/>
    <tableColumn id="3" xr3:uid="{851DF9E0-0F05-3247-AD27-4853DD4FD0AF}" uniqueName="3" name="t_s_mean" queryTableFieldId="3"/>
    <tableColumn id="4" xr3:uid="{5E4821A5-1142-D044-A5F4-55A03C61EB69}" uniqueName="4" name="t_s_std" queryTableFieldId="4"/>
    <tableColumn id="5" xr3:uid="{05DDA834-E54D-A04C-B802-0B4A1F429439}" uniqueName="5" name="t_s_req_mean" queryTableFieldId="5"/>
    <tableColumn id="6" xr3:uid="{8290A55F-8233-F04F-9911-D8974B0B7FE2}" uniqueName="6" name="t_s_req_std" queryTableFieldId="6"/>
    <tableColumn id="7" xr3:uid="{A6A0EDC4-8091-3746-8D9B-83CDBE90CC73}" uniqueName="7" name="peak_ts_mean" queryTableFieldId="7"/>
    <tableColumn id="8" xr3:uid="{FD1BF414-110C-114A-ABE1-33A28B357B6B}" uniqueName="8" name="peak_ts_std" queryTableFieldId="8"/>
    <tableColumn id="9" xr3:uid="{AB21C909-046B-3D45-A8FD-DCDBEFECB8E9}" uniqueName="9" name="peak_ts_req_mean" queryTableFieldId="9"/>
    <tableColumn id="10" xr3:uid="{7AEAC0AB-A645-8046-876E-380E13464E31}" uniqueName="10" name="peak_ts_req_std" queryTableFieldId="10"/>
    <tableColumn id="11" xr3:uid="{02862684-9954-1D44-B3A0-2D1E85320343}" uniqueName="11" name="ttfr_mean" queryTableFieldId="11"/>
    <tableColumn id="12" xr3:uid="{0116D949-DAB1-E044-AABD-45AC949052E7}" uniqueName="12" name="ttfr_std" queryTableFieldId="12"/>
    <tableColumn id="13" xr3:uid="{EC9E466A-10A4-2944-BAE7-6866CD56AF86}" uniqueName="13" name="est_ppt_mean" queryTableFieldId="13"/>
    <tableColumn id="14" xr3:uid="{69CF6530-EC58-0244-B759-B5BACEF8D2CF}" uniqueName="14" name="est_ppt_std" queryTableFieldId="14"/>
    <tableColumn id="15" xr3:uid="{55A9DB69-6F92-8345-ADB4-4368FD5CDEE8}" uniqueName="15" name="e2e_ttft_mean" queryTableFieldId="15"/>
    <tableColumn id="16" xr3:uid="{353B4FBC-829C-7B4C-AB14-61E72FE86094}" uniqueName="16" name="e2e_ttft_std" queryTableField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D9B59C-6B8A-1B4C-B1DA-476BFE92BECA}" name="_2026_05_20_19_38_llama_cpp_Qwen3_6_27B_Q4_K_M_MTP_Instruct" displayName="_2026_05_20_19_38_llama_cpp_Qwen3_6_27B_Q4_K_M_MTP_Instruct" ref="A1:P21" tableType="queryTable" totalsRowShown="0">
  <autoFilter ref="A1:P21" xr:uid="{73D9B59C-6B8A-1B4C-B1DA-476BFE92BECA}">
    <filterColumn colId="1">
      <filters>
        <filter val="ctx_tg @ d1024"/>
        <filter val="ctx_tg @ d8192"/>
        <filter val="tg1024"/>
        <filter val="tg1024 @ d1024"/>
        <filter val="tg1024 @ d8192"/>
        <filter val="tg32"/>
        <filter val="tg32 @ d8192"/>
      </filters>
    </filterColumn>
  </autoFilter>
  <tableColumns count="16">
    <tableColumn id="1" xr3:uid="{89161523-373A-D148-ACCA-D9635E2B7D43}" uniqueName="1" name="model" queryTableFieldId="1" dataDxfId="1"/>
    <tableColumn id="2" xr3:uid="{07C4E527-C84C-F547-97C9-E51A056814FD}" uniqueName="2" name="test_name" queryTableFieldId="2" dataDxfId="0"/>
    <tableColumn id="3" xr3:uid="{AB6DBABF-A2AF-A34A-A5F3-69674A5590D1}" uniqueName="3" name="t_s_mean" queryTableFieldId="3"/>
    <tableColumn id="4" xr3:uid="{DEA444D3-F174-3A47-8712-796ED2380E42}" uniqueName="4" name="t_s_std" queryTableFieldId="4"/>
    <tableColumn id="5" xr3:uid="{27384CB8-2E18-2547-BED2-F628F40334E6}" uniqueName="5" name="t_s_req_mean" queryTableFieldId="5"/>
    <tableColumn id="6" xr3:uid="{91B1A452-C201-9E4C-9F8F-74EC96369E7C}" uniqueName="6" name="t_s_req_std" queryTableFieldId="6"/>
    <tableColumn id="7" xr3:uid="{8DAEFA6A-784F-1B4A-B172-4F62D0AFF02B}" uniqueName="7" name="peak_ts_mean" queryTableFieldId="7"/>
    <tableColumn id="8" xr3:uid="{76DB357C-AF47-7E42-B9C9-F102E6DAAF59}" uniqueName="8" name="peak_ts_std" queryTableFieldId="8"/>
    <tableColumn id="9" xr3:uid="{03A8FB76-8153-E04C-B519-D19605A83FBC}" uniqueName="9" name="peak_ts_req_mean" queryTableFieldId="9"/>
    <tableColumn id="10" xr3:uid="{48A4E6F6-B0BC-D748-9A2F-5C27711B9091}" uniqueName="10" name="peak_ts_req_std" queryTableFieldId="10"/>
    <tableColumn id="11" xr3:uid="{685AE230-5D60-5F4E-8E09-62C4D8F2A4F7}" uniqueName="11" name="ttfr_mean" queryTableFieldId="11"/>
    <tableColumn id="12" xr3:uid="{31BD2534-9546-AB44-95AE-61CFF486C2B9}" uniqueName="12" name="ttfr_std" queryTableFieldId="12"/>
    <tableColumn id="13" xr3:uid="{AA2E85BF-80AF-5440-9BAD-F8A1D77E3B54}" uniqueName="13" name="est_ppt_mean" queryTableFieldId="13"/>
    <tableColumn id="14" xr3:uid="{18037B47-38AF-2A41-914F-7F8FCD595FDE}" uniqueName="14" name="est_ppt_std" queryTableFieldId="14"/>
    <tableColumn id="15" xr3:uid="{1D76FC5D-584D-5741-8AEB-1F728BBB7EAA}" uniqueName="15" name="e2e_ttft_mean" queryTableFieldId="15"/>
    <tableColumn id="16" xr3:uid="{3A23E545-1E55-D844-B940-3FDF0748F675}" uniqueName="16" name="e2e_ttft_std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DD8A7-7257-3C47-92E6-17921B9D70A8}">
  <dimension ref="A1:M43"/>
  <sheetViews>
    <sheetView tabSelected="1" zoomScale="130" zoomScaleNormal="130" workbookViewId="0">
      <selection activeCell="C42" sqref="C42"/>
    </sheetView>
  </sheetViews>
  <sheetFormatPr baseColWidth="10" defaultRowHeight="16" x14ac:dyDescent="0.2"/>
  <cols>
    <col min="1" max="1" width="14.1640625" bestFit="1" customWidth="1"/>
    <col min="2" max="3" width="12.1640625" bestFit="1" customWidth="1"/>
    <col min="4" max="5" width="12.1640625" customWidth="1"/>
  </cols>
  <sheetData>
    <row r="1" spans="1:13" s="1" customFormat="1" x14ac:dyDescent="0.2">
      <c r="A1" s="3" t="s">
        <v>1</v>
      </c>
      <c r="B1" s="1" t="s">
        <v>33</v>
      </c>
      <c r="C1" s="1" t="s">
        <v>34</v>
      </c>
      <c r="D1" s="3" t="s">
        <v>39</v>
      </c>
      <c r="E1" s="3" t="s">
        <v>40</v>
      </c>
      <c r="F1" s="1" t="s">
        <v>35</v>
      </c>
      <c r="G1" s="1" t="s">
        <v>36</v>
      </c>
      <c r="H1" s="3" t="s">
        <v>41</v>
      </c>
      <c r="I1" s="3" t="s">
        <v>42</v>
      </c>
      <c r="J1" s="1" t="s">
        <v>37</v>
      </c>
      <c r="K1" s="1" t="s">
        <v>38</v>
      </c>
      <c r="L1" s="3" t="s">
        <v>43</v>
      </c>
      <c r="M1" s="3" t="s">
        <v>44</v>
      </c>
    </row>
    <row r="2" spans="1:13" x14ac:dyDescent="0.2">
      <c r="A2" s="5" t="s">
        <v>17</v>
      </c>
      <c r="B2" s="2">
        <v>70.987550465166336</v>
      </c>
      <c r="C2" s="2">
        <v>7.2752341104745275</v>
      </c>
      <c r="D2" s="4">
        <f>B2+C2</f>
        <v>78.262784575640865</v>
      </c>
      <c r="E2" s="4">
        <f>B2-C2</f>
        <v>63.712316354691808</v>
      </c>
      <c r="F2" s="2">
        <v>15.419480769654172</v>
      </c>
      <c r="G2" s="2">
        <v>1.3445107553277848E-2</v>
      </c>
      <c r="H2" s="4">
        <f>F2+G2</f>
        <v>15.432925877207449</v>
      </c>
      <c r="I2" s="4">
        <f>F2-G2</f>
        <v>15.406035662100894</v>
      </c>
      <c r="J2" s="2">
        <v>23.769183993034577</v>
      </c>
      <c r="K2" s="2">
        <v>4.4902572534108529</v>
      </c>
      <c r="L2" s="4">
        <f>J2+K2</f>
        <v>28.25944124644543</v>
      </c>
      <c r="M2" s="4">
        <f>J2-K2</f>
        <v>19.278926739623724</v>
      </c>
    </row>
    <row r="3" spans="1:13" x14ac:dyDescent="0.2">
      <c r="A3" s="5" t="s">
        <v>19</v>
      </c>
      <c r="B3" s="2">
        <v>50.056013069805296</v>
      </c>
      <c r="C3" s="2">
        <v>3.2143930373262162</v>
      </c>
      <c r="D3" s="4">
        <f t="shared" ref="D3:D9" si="0">B3+C3</f>
        <v>53.270406107131514</v>
      </c>
      <c r="E3" s="4">
        <f t="shared" ref="E3:E9" si="1">B3-C3</f>
        <v>46.841620032479078</v>
      </c>
      <c r="F3" s="2">
        <v>15.289057090288381</v>
      </c>
      <c r="G3" s="2">
        <v>1.056075364057108E-2</v>
      </c>
      <c r="H3" s="4">
        <f t="shared" ref="H3:H9" si="2">F3+G3</f>
        <v>15.299617843928951</v>
      </c>
      <c r="I3" s="4">
        <f t="shared" ref="I3:I9" si="3">F3-G3</f>
        <v>15.278496336647811</v>
      </c>
      <c r="J3" s="2">
        <v>19.027885138706353</v>
      </c>
      <c r="K3" s="2">
        <v>1.2940538965089166</v>
      </c>
      <c r="L3" s="4">
        <f t="shared" ref="L3:L9" si="4">J3+K3</f>
        <v>20.321939035215269</v>
      </c>
      <c r="M3" s="4">
        <f t="shared" ref="M3:M9" si="5">J3-K3</f>
        <v>17.733831242197436</v>
      </c>
    </row>
    <row r="4" spans="1:13" hidden="1" x14ac:dyDescent="0.2">
      <c r="A4" s="5" t="s">
        <v>20</v>
      </c>
      <c r="B4" s="2">
        <v>50.185335258660473</v>
      </c>
      <c r="C4" s="2">
        <v>1.2607484212512681</v>
      </c>
      <c r="D4" s="4">
        <f t="shared" si="0"/>
        <v>51.446083679911737</v>
      </c>
      <c r="E4" s="4">
        <f t="shared" si="1"/>
        <v>48.924586837409208</v>
      </c>
      <c r="F4" s="2">
        <v>15.465837452935608</v>
      </c>
      <c r="G4" s="2">
        <v>5.3469897026451531E-2</v>
      </c>
      <c r="H4" s="4">
        <f t="shared" si="2"/>
        <v>15.519307349962059</v>
      </c>
      <c r="I4" s="4">
        <f t="shared" si="3"/>
        <v>15.412367555909157</v>
      </c>
      <c r="J4" s="2">
        <v>26.342782307265736</v>
      </c>
      <c r="K4" s="2">
        <v>0.48586702211413385</v>
      </c>
      <c r="L4" s="4">
        <f t="shared" si="4"/>
        <v>26.828649329379871</v>
      </c>
      <c r="M4" s="4">
        <f t="shared" si="5"/>
        <v>25.856915285151601</v>
      </c>
    </row>
    <row r="5" spans="1:13" x14ac:dyDescent="0.2">
      <c r="A5" s="5" t="s">
        <v>21</v>
      </c>
      <c r="B5" s="2">
        <v>52.651617573527261</v>
      </c>
      <c r="C5" s="2">
        <v>3.6785672273286627</v>
      </c>
      <c r="D5" s="4">
        <f t="shared" si="0"/>
        <v>56.330184800855925</v>
      </c>
      <c r="E5" s="4">
        <f t="shared" si="1"/>
        <v>48.973050346198598</v>
      </c>
      <c r="F5" s="2">
        <v>15.216547922534884</v>
      </c>
      <c r="G5" s="2">
        <v>7.2329905429535492E-3</v>
      </c>
      <c r="H5" s="4">
        <f t="shared" si="2"/>
        <v>15.223780913077837</v>
      </c>
      <c r="I5" s="4">
        <f t="shared" si="3"/>
        <v>15.209314931991932</v>
      </c>
      <c r="J5" s="2">
        <v>21.480009790433872</v>
      </c>
      <c r="K5" s="2">
        <v>0.67999136707463248</v>
      </c>
      <c r="L5" s="4">
        <f t="shared" si="4"/>
        <v>22.160001157508503</v>
      </c>
      <c r="M5" s="4">
        <f t="shared" si="5"/>
        <v>20.800018423359241</v>
      </c>
    </row>
    <row r="6" spans="1:13" hidden="1" x14ac:dyDescent="0.2">
      <c r="A6" s="5" t="s">
        <v>22</v>
      </c>
      <c r="B6" s="2">
        <v>52.113646303905412</v>
      </c>
      <c r="C6" s="2">
        <v>12.687175582348377</v>
      </c>
      <c r="D6" s="4">
        <f t="shared" si="0"/>
        <v>64.800821886253786</v>
      </c>
      <c r="E6" s="4">
        <f t="shared" si="1"/>
        <v>39.426470721557038</v>
      </c>
      <c r="F6" s="2">
        <v>14.976548586935543</v>
      </c>
      <c r="G6" s="2">
        <v>4.5576649279540485E-2</v>
      </c>
      <c r="H6" s="4">
        <f t="shared" si="2"/>
        <v>15.022125236215084</v>
      </c>
      <c r="I6" s="4">
        <f t="shared" si="3"/>
        <v>14.930971937656002</v>
      </c>
      <c r="J6" s="2">
        <v>21.984132923648414</v>
      </c>
      <c r="K6" s="2">
        <v>2.8242201587897195</v>
      </c>
      <c r="L6" s="4">
        <f t="shared" si="4"/>
        <v>24.808353082438131</v>
      </c>
      <c r="M6" s="4">
        <f t="shared" si="5"/>
        <v>19.159912764858696</v>
      </c>
    </row>
    <row r="7" spans="1:13" x14ac:dyDescent="0.2">
      <c r="A7" s="5" t="s">
        <v>23</v>
      </c>
      <c r="B7" s="2">
        <v>72.068717142654535</v>
      </c>
      <c r="C7" s="2">
        <v>1.6052508482121093</v>
      </c>
      <c r="D7" s="4">
        <f t="shared" si="0"/>
        <v>73.673967990866643</v>
      </c>
      <c r="E7" s="4">
        <f t="shared" si="1"/>
        <v>70.463466294442426</v>
      </c>
      <c r="F7" s="2">
        <v>14.853442326610066</v>
      </c>
      <c r="G7" s="2">
        <v>5.4441532988841405E-2</v>
      </c>
      <c r="H7" s="4">
        <f t="shared" si="2"/>
        <v>14.907883859598908</v>
      </c>
      <c r="I7" s="4">
        <f t="shared" si="3"/>
        <v>14.799000793621225</v>
      </c>
      <c r="J7" s="2">
        <v>20.101383538892879</v>
      </c>
      <c r="K7" s="2">
        <v>2.0310415941867097</v>
      </c>
      <c r="L7" s="4">
        <f t="shared" si="4"/>
        <v>22.13242513307959</v>
      </c>
      <c r="M7" s="4">
        <f t="shared" si="5"/>
        <v>18.070341944706168</v>
      </c>
    </row>
    <row r="8" spans="1:13" hidden="1" x14ac:dyDescent="0.2">
      <c r="A8" s="5" t="s">
        <v>22</v>
      </c>
      <c r="B8" s="2">
        <v>45.130302913416472</v>
      </c>
      <c r="C8" s="2">
        <v>6.5426797139779991</v>
      </c>
      <c r="D8" s="4">
        <f t="shared" si="0"/>
        <v>51.672982627394468</v>
      </c>
      <c r="E8" s="4">
        <f t="shared" si="1"/>
        <v>38.587623199438475</v>
      </c>
      <c r="F8" s="2">
        <v>14.873783534864399</v>
      </c>
      <c r="G8" s="2">
        <v>2.4314978706174192E-3</v>
      </c>
      <c r="H8" s="4">
        <f t="shared" si="2"/>
        <v>14.876215032735017</v>
      </c>
      <c r="I8" s="4">
        <f t="shared" si="3"/>
        <v>14.871352036993782</v>
      </c>
      <c r="J8" s="2">
        <v>19.736262471592497</v>
      </c>
      <c r="K8" s="2">
        <v>0.5621669712520635</v>
      </c>
      <c r="L8" s="4">
        <f t="shared" si="4"/>
        <v>20.298429442844562</v>
      </c>
      <c r="M8" s="4">
        <f t="shared" si="5"/>
        <v>19.174095500340432</v>
      </c>
    </row>
    <row r="9" spans="1:13" x14ac:dyDescent="0.2">
      <c r="A9" s="5" t="s">
        <v>24</v>
      </c>
      <c r="B9" s="2">
        <v>50.941965085920323</v>
      </c>
      <c r="C9" s="2">
        <v>1.670486851262873</v>
      </c>
      <c r="D9" s="4">
        <f t="shared" si="0"/>
        <v>52.612451937183195</v>
      </c>
      <c r="E9" s="4">
        <f t="shared" si="1"/>
        <v>49.271478234657451</v>
      </c>
      <c r="F9" s="2">
        <v>14.726988929854476</v>
      </c>
      <c r="G9" s="2">
        <v>1.0062093547630444E-2</v>
      </c>
      <c r="H9" s="4">
        <f t="shared" si="2"/>
        <v>14.737051023402106</v>
      </c>
      <c r="I9" s="4">
        <f t="shared" si="3"/>
        <v>14.716926836306847</v>
      </c>
      <c r="J9" s="2">
        <v>18.83889380203</v>
      </c>
      <c r="K9" s="2">
        <v>0.91188722141338685</v>
      </c>
      <c r="L9" s="4">
        <f t="shared" si="4"/>
        <v>19.750781023443388</v>
      </c>
      <c r="M9" s="4">
        <f t="shared" si="5"/>
        <v>17.927006580616613</v>
      </c>
    </row>
    <row r="32" spans="1:1" x14ac:dyDescent="0.2">
      <c r="A32" s="6" t="s">
        <v>45</v>
      </c>
    </row>
    <row r="33" spans="1:1" x14ac:dyDescent="0.2">
      <c r="A33" s="6" t="s">
        <v>46</v>
      </c>
    </row>
    <row r="34" spans="1:1" x14ac:dyDescent="0.2">
      <c r="A34" s="6" t="s">
        <v>52</v>
      </c>
    </row>
    <row r="35" spans="1:1" x14ac:dyDescent="0.2">
      <c r="A35" s="6" t="s">
        <v>47</v>
      </c>
    </row>
    <row r="36" spans="1:1" x14ac:dyDescent="0.2">
      <c r="A36" s="6" t="s">
        <v>48</v>
      </c>
    </row>
    <row r="37" spans="1:1" x14ac:dyDescent="0.2">
      <c r="A37" s="6" t="s">
        <v>49</v>
      </c>
    </row>
    <row r="38" spans="1:1" x14ac:dyDescent="0.2">
      <c r="A38" s="6" t="s">
        <v>50</v>
      </c>
    </row>
    <row r="39" spans="1:1" x14ac:dyDescent="0.2">
      <c r="A39" s="6" t="s">
        <v>51</v>
      </c>
    </row>
    <row r="40" spans="1:1" x14ac:dyDescent="0.2">
      <c r="A40" s="6"/>
    </row>
    <row r="41" spans="1:1" x14ac:dyDescent="0.2">
      <c r="A41" s="6"/>
    </row>
    <row r="42" spans="1:1" x14ac:dyDescent="0.2">
      <c r="A42" s="6"/>
    </row>
    <row r="43" spans="1:1" x14ac:dyDescent="0.2">
      <c r="A43" s="6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706F-112C-7243-B243-0C7DFD69BEC1}">
  <dimension ref="A1:P9"/>
  <sheetViews>
    <sheetView workbookViewId="0"/>
  </sheetViews>
  <sheetFormatPr baseColWidth="10" defaultRowHeight="16" x14ac:dyDescent="0.2"/>
  <cols>
    <col min="1" max="1" width="31" bestFit="1" customWidth="1"/>
    <col min="2" max="2" width="14" bestFit="1" customWidth="1"/>
    <col min="3" max="4" width="12.1640625" bestFit="1" customWidth="1"/>
    <col min="5" max="5" width="15.1640625" bestFit="1" customWidth="1"/>
    <col min="6" max="6" width="13.1640625" bestFit="1" customWidth="1"/>
    <col min="7" max="7" width="15.6640625" bestFit="1" customWidth="1"/>
    <col min="8" max="8" width="13.6640625" bestFit="1" customWidth="1"/>
    <col min="9" max="9" width="19.33203125" bestFit="1" customWidth="1"/>
    <col min="10" max="10" width="17.1640625" bestFit="1" customWidth="1"/>
    <col min="11" max="11" width="11.83203125" bestFit="1" customWidth="1"/>
    <col min="12" max="12" width="9.83203125" bestFit="1" customWidth="1"/>
    <col min="13" max="13" width="15.33203125" bestFit="1" customWidth="1"/>
    <col min="14" max="14" width="13.33203125" bestFit="1" customWidth="1"/>
    <col min="15" max="15" width="15.6640625" bestFit="1" customWidth="1"/>
    <col min="16" max="16" width="13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>
        <v>70.987550465166336</v>
      </c>
      <c r="D2">
        <v>7.2752341104745275</v>
      </c>
      <c r="E2">
        <v>70.987550465166336</v>
      </c>
      <c r="F2">
        <v>7.2752341104745275</v>
      </c>
      <c r="G2">
        <v>72.560979848781457</v>
      </c>
      <c r="H2">
        <v>7.4166370785648654</v>
      </c>
      <c r="I2">
        <v>72.560979848781457</v>
      </c>
      <c r="J2">
        <v>7.4166370785648654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</row>
    <row r="3" spans="1:16" x14ac:dyDescent="0.2">
      <c r="A3" t="s">
        <v>16</v>
      </c>
      <c r="B3" t="s">
        <v>19</v>
      </c>
      <c r="C3">
        <v>50.056013069805296</v>
      </c>
      <c r="D3">
        <v>3.2143930373262162</v>
      </c>
      <c r="E3">
        <v>50.056013069805296</v>
      </c>
      <c r="F3">
        <v>3.2143930373262162</v>
      </c>
      <c r="G3">
        <v>77.333333333333329</v>
      </c>
      <c r="H3">
        <v>4.7140452079103161</v>
      </c>
      <c r="I3">
        <v>77.333333333333329</v>
      </c>
      <c r="J3">
        <v>4.7140452079103161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</row>
    <row r="4" spans="1:16" x14ac:dyDescent="0.2">
      <c r="A4" t="s">
        <v>16</v>
      </c>
      <c r="B4" t="s">
        <v>20</v>
      </c>
      <c r="C4">
        <v>50.185335258660473</v>
      </c>
      <c r="D4">
        <v>1.2607484212512681</v>
      </c>
      <c r="E4">
        <v>50.185335258660473</v>
      </c>
      <c r="F4">
        <v>1.2607484212512681</v>
      </c>
      <c r="G4">
        <v>74</v>
      </c>
      <c r="H4">
        <v>5</v>
      </c>
      <c r="I4">
        <v>74</v>
      </c>
      <c r="J4">
        <v>5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</row>
    <row r="5" spans="1:16" x14ac:dyDescent="0.2">
      <c r="A5" t="s">
        <v>16</v>
      </c>
      <c r="B5" t="s">
        <v>21</v>
      </c>
      <c r="C5">
        <v>52.651617573527261</v>
      </c>
      <c r="D5">
        <v>3.6785672273286627</v>
      </c>
      <c r="E5">
        <v>52.651617573527261</v>
      </c>
      <c r="F5">
        <v>3.6785672273286627</v>
      </c>
      <c r="G5">
        <v>83</v>
      </c>
      <c r="H5">
        <v>2.8284271247461903</v>
      </c>
      <c r="I5">
        <v>83</v>
      </c>
      <c r="J5">
        <v>2.8284271247461903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</row>
    <row r="6" spans="1:16" x14ac:dyDescent="0.2">
      <c r="A6" t="s">
        <v>16</v>
      </c>
      <c r="B6" t="s">
        <v>22</v>
      </c>
      <c r="C6">
        <v>52.113646303905412</v>
      </c>
      <c r="D6">
        <v>12.687175582348377</v>
      </c>
      <c r="E6">
        <v>52.113646303905412</v>
      </c>
      <c r="F6">
        <v>12.687175582348377</v>
      </c>
      <c r="G6">
        <v>51.995324359846606</v>
      </c>
      <c r="H6">
        <v>13.995324359846606</v>
      </c>
      <c r="I6">
        <v>51.995324359846606</v>
      </c>
      <c r="J6">
        <v>13.995324359846606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</row>
    <row r="7" spans="1:16" x14ac:dyDescent="0.2">
      <c r="A7" t="s">
        <v>16</v>
      </c>
      <c r="B7" t="s">
        <v>23</v>
      </c>
      <c r="C7">
        <v>72.068717142654535</v>
      </c>
      <c r="D7">
        <v>1.6052508482121093</v>
      </c>
      <c r="E7">
        <v>72.068717142654535</v>
      </c>
      <c r="F7">
        <v>1.6052508482121093</v>
      </c>
      <c r="G7">
        <v>73.395359907413322</v>
      </c>
      <c r="H7">
        <v>1.6118403021514298</v>
      </c>
      <c r="I7">
        <v>73.395359907413322</v>
      </c>
      <c r="J7">
        <v>1.6118403021514298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</row>
    <row r="8" spans="1:16" x14ac:dyDescent="0.2">
      <c r="A8" t="s">
        <v>16</v>
      </c>
      <c r="B8" t="s">
        <v>22</v>
      </c>
      <c r="C8">
        <v>45.130302913416472</v>
      </c>
      <c r="D8">
        <v>6.5426797139779991</v>
      </c>
      <c r="E8">
        <v>45.130302913416472</v>
      </c>
      <c r="F8">
        <v>6.5426797139779991</v>
      </c>
      <c r="G8">
        <v>70</v>
      </c>
      <c r="H8">
        <v>4.8989794855663558</v>
      </c>
      <c r="I8">
        <v>70</v>
      </c>
      <c r="J8">
        <v>4.8989794855663558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</row>
    <row r="9" spans="1:16" x14ac:dyDescent="0.2">
      <c r="A9" t="s">
        <v>16</v>
      </c>
      <c r="B9" t="s">
        <v>24</v>
      </c>
      <c r="C9">
        <v>50.941965085920323</v>
      </c>
      <c r="D9">
        <v>1.670486851262873</v>
      </c>
      <c r="E9">
        <v>50.941965085920323</v>
      </c>
      <c r="F9">
        <v>1.670486851262873</v>
      </c>
      <c r="G9">
        <v>72.666666666666671</v>
      </c>
      <c r="H9">
        <v>2.6246692913372702</v>
      </c>
      <c r="I9">
        <v>72.666666666666671</v>
      </c>
      <c r="J9">
        <v>2.6246692913372702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8F7B2-D4BE-D442-A22C-65C86A0680F8}">
  <dimension ref="A1:P21"/>
  <sheetViews>
    <sheetView workbookViewId="0"/>
  </sheetViews>
  <sheetFormatPr baseColWidth="10" defaultRowHeight="16" x14ac:dyDescent="0.2"/>
  <cols>
    <col min="1" max="1" width="29.6640625" bestFit="1" customWidth="1"/>
    <col min="2" max="2" width="14.5" bestFit="1" customWidth="1"/>
    <col min="3" max="4" width="12.1640625" bestFit="1" customWidth="1"/>
    <col min="5" max="5" width="15.1640625" bestFit="1" customWidth="1"/>
    <col min="6" max="6" width="13.1640625" bestFit="1" customWidth="1"/>
    <col min="7" max="7" width="15.6640625" bestFit="1" customWidth="1"/>
    <col min="8" max="8" width="13.6640625" bestFit="1" customWidth="1"/>
    <col min="9" max="9" width="19.33203125" bestFit="1" customWidth="1"/>
    <col min="10" max="10" width="17.1640625" bestFit="1" customWidth="1"/>
    <col min="11" max="12" width="12.1640625" bestFit="1" customWidth="1"/>
    <col min="13" max="13" width="15.33203125" bestFit="1" customWidth="1"/>
    <col min="14" max="14" width="13.33203125" bestFit="1" customWidth="1"/>
    <col min="15" max="15" width="15.6640625" bestFit="1" customWidth="1"/>
    <col min="16" max="16" width="13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2">
      <c r="A2" t="s">
        <v>25</v>
      </c>
      <c r="B2" t="s">
        <v>26</v>
      </c>
      <c r="C2">
        <v>482.51843826140811</v>
      </c>
      <c r="D2">
        <v>0.40634150410803194</v>
      </c>
      <c r="E2">
        <v>482.51843826140811</v>
      </c>
      <c r="F2">
        <v>0.40634150410803194</v>
      </c>
      <c r="K2">
        <v>4462.7795003276942</v>
      </c>
      <c r="L2">
        <v>2.8232567407587998</v>
      </c>
      <c r="M2">
        <v>4245.7813616492786</v>
      </c>
      <c r="N2">
        <v>2.8232567407587998</v>
      </c>
      <c r="O2">
        <v>4462.7795003276942</v>
      </c>
      <c r="P2">
        <v>2.8232567407587998</v>
      </c>
    </row>
    <row r="3" spans="1:16" x14ac:dyDescent="0.2">
      <c r="A3" t="s">
        <v>25</v>
      </c>
      <c r="B3" t="s">
        <v>17</v>
      </c>
      <c r="C3">
        <v>15.419480769654172</v>
      </c>
      <c r="D3">
        <v>1.3445107553277848E-2</v>
      </c>
      <c r="E3">
        <v>15.419480769654172</v>
      </c>
      <c r="F3">
        <v>1.3445107553277848E-2</v>
      </c>
      <c r="G3">
        <v>16</v>
      </c>
      <c r="H3">
        <v>0</v>
      </c>
      <c r="I3">
        <v>16</v>
      </c>
      <c r="J3">
        <v>0</v>
      </c>
    </row>
    <row r="4" spans="1:16" hidden="1" x14ac:dyDescent="0.2">
      <c r="A4" t="s">
        <v>25</v>
      </c>
      <c r="B4" t="s">
        <v>26</v>
      </c>
      <c r="C4">
        <v>459.81445314721367</v>
      </c>
      <c r="D4">
        <v>15.421848663180995</v>
      </c>
      <c r="E4">
        <v>459.81445314721367</v>
      </c>
      <c r="F4">
        <v>15.421848663180995</v>
      </c>
      <c r="K4">
        <v>4677.3097360079801</v>
      </c>
      <c r="L4">
        <v>145.84876846074377</v>
      </c>
      <c r="M4">
        <v>4460.3115973295644</v>
      </c>
      <c r="N4">
        <v>145.84876846074377</v>
      </c>
      <c r="O4">
        <v>4677.3097360079801</v>
      </c>
      <c r="P4">
        <v>145.84876846074377</v>
      </c>
    </row>
    <row r="5" spans="1:16" x14ac:dyDescent="0.2">
      <c r="A5" t="s">
        <v>25</v>
      </c>
      <c r="B5" t="s">
        <v>19</v>
      </c>
      <c r="C5">
        <v>15.289057090288381</v>
      </c>
      <c r="D5">
        <v>1.056075364057108E-2</v>
      </c>
      <c r="E5">
        <v>15.289057090288381</v>
      </c>
      <c r="F5">
        <v>1.056075364057108E-2</v>
      </c>
      <c r="G5">
        <v>16</v>
      </c>
      <c r="H5">
        <v>0</v>
      </c>
      <c r="I5">
        <v>16</v>
      </c>
      <c r="J5">
        <v>0</v>
      </c>
    </row>
    <row r="6" spans="1:16" hidden="1" x14ac:dyDescent="0.2">
      <c r="A6" t="s">
        <v>25</v>
      </c>
      <c r="B6" t="s">
        <v>27</v>
      </c>
      <c r="C6">
        <v>446.02194124864292</v>
      </c>
      <c r="D6">
        <v>19.418771241559099</v>
      </c>
      <c r="E6">
        <v>446.02194124864292</v>
      </c>
      <c r="F6">
        <v>19.418771241559099</v>
      </c>
      <c r="K6">
        <v>2519.5885140177174</v>
      </c>
      <c r="L6">
        <v>103.29741332086815</v>
      </c>
      <c r="M6">
        <v>2302.5903753393018</v>
      </c>
      <c r="N6">
        <v>103.29741332086815</v>
      </c>
      <c r="O6">
        <v>2519.5885140177174</v>
      </c>
      <c r="P6">
        <v>103.29741332086815</v>
      </c>
    </row>
    <row r="7" spans="1:16" x14ac:dyDescent="0.2">
      <c r="A7" t="s">
        <v>25</v>
      </c>
      <c r="B7" t="s">
        <v>20</v>
      </c>
      <c r="C7">
        <v>15.465837452935608</v>
      </c>
      <c r="D7">
        <v>5.3469897026451531E-2</v>
      </c>
      <c r="E7">
        <v>15.465837452935608</v>
      </c>
      <c r="F7">
        <v>5.3469897026451531E-2</v>
      </c>
      <c r="G7">
        <v>16</v>
      </c>
      <c r="H7">
        <v>0</v>
      </c>
      <c r="I7">
        <v>16</v>
      </c>
      <c r="J7">
        <v>0</v>
      </c>
    </row>
    <row r="8" spans="1:16" hidden="1" x14ac:dyDescent="0.2">
      <c r="A8" t="s">
        <v>25</v>
      </c>
      <c r="B8" t="s">
        <v>28</v>
      </c>
      <c r="C8">
        <v>305.11433165183695</v>
      </c>
      <c r="D8">
        <v>0.79357398667262202</v>
      </c>
      <c r="E8">
        <v>305.11433165183695</v>
      </c>
      <c r="F8">
        <v>0.79357398667262202</v>
      </c>
      <c r="K8">
        <v>6929.2815692994436</v>
      </c>
      <c r="L8">
        <v>17.481423177340382</v>
      </c>
      <c r="M8">
        <v>6712.2834306210279</v>
      </c>
      <c r="N8">
        <v>17.481423177340382</v>
      </c>
      <c r="O8">
        <v>6929.2815692994436</v>
      </c>
      <c r="P8">
        <v>17.481423177340382</v>
      </c>
    </row>
    <row r="9" spans="1:16" hidden="1" x14ac:dyDescent="0.2">
      <c r="A9" t="s">
        <v>25</v>
      </c>
      <c r="B9" t="s">
        <v>29</v>
      </c>
      <c r="C9">
        <v>15.380627585970741</v>
      </c>
      <c r="D9">
        <v>1.9125498575501339E-2</v>
      </c>
      <c r="E9">
        <v>15.380627585970741</v>
      </c>
      <c r="F9">
        <v>1.9125498575501339E-2</v>
      </c>
      <c r="G9">
        <v>16</v>
      </c>
      <c r="H9">
        <v>0</v>
      </c>
      <c r="I9">
        <v>16</v>
      </c>
      <c r="J9">
        <v>0</v>
      </c>
    </row>
    <row r="10" spans="1:16" hidden="1" x14ac:dyDescent="0.2">
      <c r="A10" t="s">
        <v>25</v>
      </c>
      <c r="B10" t="s">
        <v>27</v>
      </c>
      <c r="C10">
        <v>459.14331312655401</v>
      </c>
      <c r="D10">
        <v>8.3599986543061213</v>
      </c>
      <c r="E10">
        <v>459.14331312655401</v>
      </c>
      <c r="F10">
        <v>8.3599986543061213</v>
      </c>
      <c r="K10">
        <v>2450.1576386780166</v>
      </c>
      <c r="L10">
        <v>40.703310101136196</v>
      </c>
      <c r="M10">
        <v>2233.1594999996014</v>
      </c>
      <c r="N10">
        <v>40.703310101136196</v>
      </c>
      <c r="O10">
        <v>2450.1576386780166</v>
      </c>
      <c r="P10">
        <v>40.703310101136196</v>
      </c>
    </row>
    <row r="11" spans="1:16" hidden="1" x14ac:dyDescent="0.2">
      <c r="A11" t="s">
        <v>25</v>
      </c>
      <c r="B11" t="s">
        <v>20</v>
      </c>
      <c r="C11">
        <v>15.361160897120904</v>
      </c>
      <c r="D11">
        <v>1.0088310487113259E-2</v>
      </c>
      <c r="E11">
        <v>15.361160897120904</v>
      </c>
      <c r="F11">
        <v>1.0088310487113259E-2</v>
      </c>
      <c r="G11">
        <v>16</v>
      </c>
      <c r="H11">
        <v>0</v>
      </c>
      <c r="I11">
        <v>16</v>
      </c>
      <c r="J11">
        <v>0</v>
      </c>
    </row>
    <row r="12" spans="1:16" hidden="1" x14ac:dyDescent="0.2">
      <c r="A12" t="s">
        <v>25</v>
      </c>
      <c r="B12" t="s">
        <v>28</v>
      </c>
      <c r="C12">
        <v>307.38647242114399</v>
      </c>
      <c r="D12">
        <v>1.2500900577098137</v>
      </c>
      <c r="E12">
        <v>307.38647242114399</v>
      </c>
      <c r="F12">
        <v>1.2500900577098137</v>
      </c>
      <c r="K12">
        <v>6879.7304719919339</v>
      </c>
      <c r="L12">
        <v>27.028979519313772</v>
      </c>
      <c r="M12">
        <v>6662.7323333135182</v>
      </c>
      <c r="N12">
        <v>27.028979519313772</v>
      </c>
      <c r="O12">
        <v>6879.7304719919339</v>
      </c>
      <c r="P12">
        <v>27.028979519313772</v>
      </c>
    </row>
    <row r="13" spans="1:16" x14ac:dyDescent="0.2">
      <c r="A13" t="s">
        <v>25</v>
      </c>
      <c r="B13" t="s">
        <v>21</v>
      </c>
      <c r="C13">
        <v>15.216547922534884</v>
      </c>
      <c r="D13">
        <v>7.2329905429535492E-3</v>
      </c>
      <c r="E13">
        <v>15.216547922534884</v>
      </c>
      <c r="F13">
        <v>7.2329905429535492E-3</v>
      </c>
      <c r="G13">
        <v>16</v>
      </c>
      <c r="H13">
        <v>0</v>
      </c>
      <c r="I13">
        <v>16</v>
      </c>
      <c r="J13">
        <v>0</v>
      </c>
    </row>
    <row r="14" spans="1:16" hidden="1" x14ac:dyDescent="0.2">
      <c r="A14" t="s">
        <v>25</v>
      </c>
      <c r="B14" t="s">
        <v>30</v>
      </c>
      <c r="C14">
        <v>467.49155206365475</v>
      </c>
      <c r="D14">
        <v>6.0680449005170223</v>
      </c>
      <c r="E14">
        <v>467.49155206365475</v>
      </c>
      <c r="F14">
        <v>6.0680449005170223</v>
      </c>
      <c r="K14">
        <v>17746.134291655228</v>
      </c>
      <c r="L14">
        <v>229.02486988733315</v>
      </c>
      <c r="M14">
        <v>17529.136152976815</v>
      </c>
      <c r="N14">
        <v>229.02486988733315</v>
      </c>
      <c r="O14">
        <v>17746.134291655228</v>
      </c>
      <c r="P14">
        <v>229.02486988733315</v>
      </c>
    </row>
    <row r="15" spans="1:16" x14ac:dyDescent="0.2">
      <c r="A15" t="s">
        <v>25</v>
      </c>
      <c r="B15" t="s">
        <v>22</v>
      </c>
      <c r="C15">
        <v>14.976548586935543</v>
      </c>
      <c r="D15">
        <v>4.5576649279540485E-2</v>
      </c>
      <c r="E15">
        <v>14.976548586935543</v>
      </c>
      <c r="F15">
        <v>4.5576649279540485E-2</v>
      </c>
      <c r="G15">
        <v>15.666666666666666</v>
      </c>
      <c r="H15">
        <v>0.47140452079103168</v>
      </c>
      <c r="I15">
        <v>15.666666666666666</v>
      </c>
      <c r="J15">
        <v>0.47140452079103168</v>
      </c>
    </row>
    <row r="16" spans="1:16" hidden="1" x14ac:dyDescent="0.2">
      <c r="A16" t="s">
        <v>25</v>
      </c>
      <c r="B16" t="s">
        <v>31</v>
      </c>
      <c r="C16">
        <v>92.47822536478543</v>
      </c>
      <c r="D16">
        <v>1.315881531947692</v>
      </c>
      <c r="E16">
        <v>92.47822536478543</v>
      </c>
      <c r="F16">
        <v>1.315881531947692</v>
      </c>
      <c r="K16">
        <v>22367.282097014442</v>
      </c>
      <c r="L16">
        <v>318.38109556070299</v>
      </c>
      <c r="M16">
        <v>22150.283958336029</v>
      </c>
      <c r="N16">
        <v>318.38109556070299</v>
      </c>
      <c r="O16">
        <v>22367.282097014442</v>
      </c>
      <c r="P16">
        <v>318.38109556070299</v>
      </c>
    </row>
    <row r="17" spans="1:16" x14ac:dyDescent="0.2">
      <c r="A17" t="s">
        <v>25</v>
      </c>
      <c r="B17" t="s">
        <v>23</v>
      </c>
      <c r="C17">
        <v>14.853442326610066</v>
      </c>
      <c r="D17">
        <v>5.4441532988841405E-2</v>
      </c>
      <c r="E17">
        <v>14.853442326610066</v>
      </c>
      <c r="F17">
        <v>5.4441532988841405E-2</v>
      </c>
      <c r="G17">
        <v>15</v>
      </c>
      <c r="H17">
        <v>0</v>
      </c>
      <c r="I17">
        <v>15</v>
      </c>
      <c r="J17">
        <v>0</v>
      </c>
    </row>
    <row r="18" spans="1:16" hidden="1" x14ac:dyDescent="0.2">
      <c r="A18" t="s">
        <v>25</v>
      </c>
      <c r="B18" t="s">
        <v>30</v>
      </c>
      <c r="C18">
        <v>463.90731686125304</v>
      </c>
      <c r="D18">
        <v>7.6176030438832099</v>
      </c>
      <c r="E18">
        <v>463.90731686125304</v>
      </c>
      <c r="F18">
        <v>7.6176030438832099</v>
      </c>
      <c r="K18">
        <v>17883.327792010579</v>
      </c>
      <c r="L18">
        <v>289.65183683874335</v>
      </c>
      <c r="M18">
        <v>17666.329653332166</v>
      </c>
      <c r="N18">
        <v>289.65183683874335</v>
      </c>
      <c r="O18">
        <v>17883.327792010579</v>
      </c>
      <c r="P18">
        <v>289.65183683874335</v>
      </c>
    </row>
    <row r="19" spans="1:16" x14ac:dyDescent="0.2">
      <c r="A19" t="s">
        <v>25</v>
      </c>
      <c r="B19" t="s">
        <v>22</v>
      </c>
      <c r="C19">
        <v>14.873783534864399</v>
      </c>
      <c r="D19">
        <v>2.4314978706174192E-3</v>
      </c>
      <c r="E19">
        <v>14.873783534864399</v>
      </c>
      <c r="F19">
        <v>2.4314978706174192E-3</v>
      </c>
      <c r="G19">
        <v>16</v>
      </c>
      <c r="H19">
        <v>0</v>
      </c>
      <c r="I19">
        <v>16</v>
      </c>
      <c r="J19">
        <v>0</v>
      </c>
    </row>
    <row r="20" spans="1:16" hidden="1" x14ac:dyDescent="0.2">
      <c r="A20" t="s">
        <v>25</v>
      </c>
      <c r="B20" t="s">
        <v>31</v>
      </c>
      <c r="C20">
        <v>90.299291727212335</v>
      </c>
      <c r="D20">
        <v>1.4670197505511402</v>
      </c>
      <c r="E20">
        <v>90.299291727212335</v>
      </c>
      <c r="F20">
        <v>1.4670197505511402</v>
      </c>
      <c r="K20">
        <v>22903.173805660725</v>
      </c>
      <c r="L20">
        <v>371.91639031119541</v>
      </c>
      <c r="M20">
        <v>22686.175666982308</v>
      </c>
      <c r="N20">
        <v>371.91639031119541</v>
      </c>
      <c r="O20">
        <v>22903.173805660725</v>
      </c>
      <c r="P20">
        <v>371.91639031119541</v>
      </c>
    </row>
    <row r="21" spans="1:16" x14ac:dyDescent="0.2">
      <c r="A21" t="s">
        <v>25</v>
      </c>
      <c r="B21" t="s">
        <v>24</v>
      </c>
      <c r="C21">
        <v>14.726988929854476</v>
      </c>
      <c r="D21">
        <v>1.0062093547630444E-2</v>
      </c>
      <c r="E21">
        <v>14.726988929854476</v>
      </c>
      <c r="F21">
        <v>1.0062093547630444E-2</v>
      </c>
      <c r="G21">
        <v>15</v>
      </c>
      <c r="H21">
        <v>0</v>
      </c>
      <c r="I21">
        <v>15</v>
      </c>
      <c r="J2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BED03-0152-9040-A500-6F47431825DB}">
  <dimension ref="A1:P21"/>
  <sheetViews>
    <sheetView workbookViewId="0"/>
  </sheetViews>
  <sheetFormatPr baseColWidth="10" defaultRowHeight="16" x14ac:dyDescent="0.2"/>
  <cols>
    <col min="1" max="1" width="30.83203125" bestFit="1" customWidth="1"/>
    <col min="2" max="2" width="14.5" bestFit="1" customWidth="1"/>
    <col min="3" max="4" width="12.1640625" bestFit="1" customWidth="1"/>
    <col min="5" max="5" width="15.1640625" bestFit="1" customWidth="1"/>
    <col min="6" max="6" width="13.1640625" bestFit="1" customWidth="1"/>
    <col min="7" max="7" width="15.6640625" bestFit="1" customWidth="1"/>
    <col min="8" max="8" width="13.6640625" bestFit="1" customWidth="1"/>
    <col min="9" max="9" width="19.33203125" bestFit="1" customWidth="1"/>
    <col min="10" max="10" width="17.1640625" bestFit="1" customWidth="1"/>
    <col min="11" max="12" width="12.1640625" bestFit="1" customWidth="1"/>
    <col min="13" max="13" width="15.33203125" bestFit="1" customWidth="1"/>
    <col min="14" max="14" width="13.33203125" bestFit="1" customWidth="1"/>
    <col min="15" max="15" width="15.6640625" bestFit="1" customWidth="1"/>
    <col min="16" max="16" width="13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2">
      <c r="A2" t="s">
        <v>32</v>
      </c>
      <c r="B2" t="s">
        <v>26</v>
      </c>
      <c r="C2">
        <v>316.03887600064849</v>
      </c>
      <c r="D2">
        <v>1.0625762322361889</v>
      </c>
      <c r="E2">
        <v>316.03887600064849</v>
      </c>
      <c r="F2">
        <v>1.0625762322361889</v>
      </c>
      <c r="K2">
        <v>6141.0929860042716</v>
      </c>
      <c r="L2">
        <v>144.72809457484647</v>
      </c>
      <c r="M2">
        <v>5961.2791946662282</v>
      </c>
      <c r="N2">
        <v>144.72809457484649</v>
      </c>
      <c r="O2">
        <v>6141.0929860042716</v>
      </c>
      <c r="P2">
        <v>144.72809457484647</v>
      </c>
    </row>
    <row r="3" spans="1:16" x14ac:dyDescent="0.2">
      <c r="A3" t="s">
        <v>32</v>
      </c>
      <c r="B3" t="s">
        <v>17</v>
      </c>
      <c r="C3">
        <v>23.769183993034577</v>
      </c>
      <c r="D3">
        <v>4.4902572534108529</v>
      </c>
      <c r="E3">
        <v>23.769183993034577</v>
      </c>
      <c r="F3">
        <v>4.4902572534108529</v>
      </c>
      <c r="G3">
        <v>27</v>
      </c>
      <c r="H3">
        <v>2.4494897427831779</v>
      </c>
      <c r="I3">
        <v>27</v>
      </c>
      <c r="J3">
        <v>2.4494897427831779</v>
      </c>
    </row>
    <row r="4" spans="1:16" hidden="1" x14ac:dyDescent="0.2">
      <c r="A4" t="s">
        <v>32</v>
      </c>
      <c r="B4" t="s">
        <v>26</v>
      </c>
      <c r="C4">
        <v>322.07818085023763</v>
      </c>
      <c r="D4">
        <v>4.4370821370187956</v>
      </c>
      <c r="E4">
        <v>322.07818085023763</v>
      </c>
      <c r="F4">
        <v>4.4370821370187956</v>
      </c>
      <c r="K4">
        <v>5929.1351386539945</v>
      </c>
      <c r="L4">
        <v>156.31341013998389</v>
      </c>
      <c r="M4">
        <v>5749.3213473159512</v>
      </c>
      <c r="N4">
        <v>156.31341013998389</v>
      </c>
      <c r="O4">
        <v>5929.1351386539945</v>
      </c>
      <c r="P4">
        <v>156.31341013998389</v>
      </c>
    </row>
    <row r="5" spans="1:16" x14ac:dyDescent="0.2">
      <c r="A5" t="s">
        <v>32</v>
      </c>
      <c r="B5" t="s">
        <v>19</v>
      </c>
      <c r="C5">
        <v>19.027885138706353</v>
      </c>
      <c r="D5">
        <v>1.2940538965089166</v>
      </c>
      <c r="E5">
        <v>19.027885138706353</v>
      </c>
      <c r="F5">
        <v>1.2940538965089166</v>
      </c>
      <c r="G5">
        <v>35.666666666666664</v>
      </c>
      <c r="H5">
        <v>1.699673171197595</v>
      </c>
      <c r="I5">
        <v>35.666666666666664</v>
      </c>
      <c r="J5">
        <v>1.699673171197595</v>
      </c>
    </row>
    <row r="6" spans="1:16" hidden="1" x14ac:dyDescent="0.2">
      <c r="A6" t="s">
        <v>32</v>
      </c>
      <c r="B6" t="s">
        <v>27</v>
      </c>
      <c r="C6">
        <v>309.83571529237514</v>
      </c>
      <c r="D6">
        <v>13.284452059263348</v>
      </c>
      <c r="E6">
        <v>309.83571529237514</v>
      </c>
      <c r="F6">
        <v>13.284452059263348</v>
      </c>
      <c r="K6">
        <v>3129.0377083350904</v>
      </c>
      <c r="L6">
        <v>181.94689201016348</v>
      </c>
      <c r="M6">
        <v>2949.2239169970467</v>
      </c>
      <c r="N6">
        <v>181.94689201016348</v>
      </c>
      <c r="O6">
        <v>3129.0377083350904</v>
      </c>
      <c r="P6">
        <v>181.94689201016348</v>
      </c>
    </row>
    <row r="7" spans="1:16" x14ac:dyDescent="0.2">
      <c r="A7" t="s">
        <v>32</v>
      </c>
      <c r="B7" t="s">
        <v>20</v>
      </c>
      <c r="C7">
        <v>26.342782307265736</v>
      </c>
      <c r="D7">
        <v>0.48586702211413385</v>
      </c>
      <c r="E7">
        <v>26.342782307265736</v>
      </c>
      <c r="F7">
        <v>0.48586702211413385</v>
      </c>
      <c r="G7">
        <v>28.666666666666668</v>
      </c>
      <c r="H7">
        <v>0.94280904158206336</v>
      </c>
      <c r="I7">
        <v>28.666666666666668</v>
      </c>
      <c r="J7">
        <v>0.94280904158206336</v>
      </c>
    </row>
    <row r="8" spans="1:16" hidden="1" x14ac:dyDescent="0.2">
      <c r="A8" t="s">
        <v>32</v>
      </c>
      <c r="B8" t="s">
        <v>28</v>
      </c>
      <c r="C8">
        <v>230.50506152515572</v>
      </c>
      <c r="D8">
        <v>5.6463898104933001</v>
      </c>
      <c r="E8">
        <v>230.50506152515572</v>
      </c>
      <c r="F8">
        <v>5.6463898104933001</v>
      </c>
      <c r="K8">
        <v>9070.0320143369026</v>
      </c>
      <c r="L8">
        <v>219.68703827324788</v>
      </c>
      <c r="M8">
        <v>8890.2182229988593</v>
      </c>
      <c r="N8">
        <v>219.68703827324788</v>
      </c>
      <c r="O8">
        <v>9070.0320143369026</v>
      </c>
      <c r="P8">
        <v>219.68703827324788</v>
      </c>
    </row>
    <row r="9" spans="1:16" hidden="1" x14ac:dyDescent="0.2">
      <c r="A9" t="s">
        <v>32</v>
      </c>
      <c r="B9" t="s">
        <v>29</v>
      </c>
      <c r="C9">
        <v>19.732794134541113</v>
      </c>
      <c r="D9">
        <v>2.2217183837198944E-2</v>
      </c>
      <c r="E9">
        <v>19.732794134541113</v>
      </c>
      <c r="F9">
        <v>2.2217183837198944E-2</v>
      </c>
      <c r="G9">
        <v>30</v>
      </c>
      <c r="H9">
        <v>0</v>
      </c>
      <c r="I9">
        <v>30</v>
      </c>
      <c r="J9">
        <v>0</v>
      </c>
    </row>
    <row r="10" spans="1:16" hidden="1" x14ac:dyDescent="0.2">
      <c r="A10" t="s">
        <v>32</v>
      </c>
      <c r="B10" t="s">
        <v>27</v>
      </c>
      <c r="C10">
        <v>300.5136545708192</v>
      </c>
      <c r="D10">
        <v>11.417083171079671</v>
      </c>
      <c r="E10">
        <v>300.5136545708192</v>
      </c>
      <c r="F10">
        <v>11.417083171079671</v>
      </c>
      <c r="K10">
        <v>3327.7479726627157</v>
      </c>
      <c r="L10">
        <v>180.76271126656869</v>
      </c>
      <c r="M10">
        <v>3147.934181324672</v>
      </c>
      <c r="N10">
        <v>180.76271126656869</v>
      </c>
      <c r="O10">
        <v>3327.7479726627157</v>
      </c>
      <c r="P10">
        <v>180.76271126656869</v>
      </c>
    </row>
    <row r="11" spans="1:16" hidden="1" x14ac:dyDescent="0.2">
      <c r="A11" t="s">
        <v>32</v>
      </c>
      <c r="B11" t="s">
        <v>20</v>
      </c>
      <c r="C11">
        <v>21.718070084203973</v>
      </c>
      <c r="D11">
        <v>0.11109371681666133</v>
      </c>
      <c r="E11">
        <v>21.718070084203973</v>
      </c>
      <c r="F11">
        <v>0.11109371681666133</v>
      </c>
      <c r="G11">
        <v>35.666666666666664</v>
      </c>
      <c r="H11">
        <v>0.47140452079103168</v>
      </c>
      <c r="I11">
        <v>35.666666666666664</v>
      </c>
      <c r="J11">
        <v>0.47140452079103168</v>
      </c>
    </row>
    <row r="12" spans="1:16" hidden="1" x14ac:dyDescent="0.2">
      <c r="A12" t="s">
        <v>32</v>
      </c>
      <c r="B12" t="s">
        <v>28</v>
      </c>
      <c r="C12">
        <v>223.33372701247387</v>
      </c>
      <c r="D12">
        <v>4.3278241652838823</v>
      </c>
      <c r="E12">
        <v>223.33372701247387</v>
      </c>
      <c r="F12">
        <v>4.3278241652838823</v>
      </c>
      <c r="K12">
        <v>9353.3691943351496</v>
      </c>
      <c r="L12">
        <v>176.61838649597777</v>
      </c>
      <c r="M12">
        <v>9173.5554029971045</v>
      </c>
      <c r="N12">
        <v>176.61838649597777</v>
      </c>
      <c r="O12">
        <v>9353.3691943351496</v>
      </c>
      <c r="P12">
        <v>176.61838649597777</v>
      </c>
    </row>
    <row r="13" spans="1:16" x14ac:dyDescent="0.2">
      <c r="A13" t="s">
        <v>32</v>
      </c>
      <c r="B13" t="s">
        <v>21</v>
      </c>
      <c r="C13">
        <v>21.480009790433872</v>
      </c>
      <c r="D13">
        <v>0.67999136707463248</v>
      </c>
      <c r="E13">
        <v>21.480009790433872</v>
      </c>
      <c r="F13">
        <v>0.67999136707463248</v>
      </c>
      <c r="G13">
        <v>36.333333333333336</v>
      </c>
      <c r="H13">
        <v>2.0548046676563256</v>
      </c>
      <c r="I13">
        <v>36.333333333333336</v>
      </c>
      <c r="J13">
        <v>2.0548046676563256</v>
      </c>
    </row>
    <row r="14" spans="1:16" hidden="1" x14ac:dyDescent="0.2">
      <c r="A14" t="s">
        <v>32</v>
      </c>
      <c r="B14" t="s">
        <v>30</v>
      </c>
      <c r="C14">
        <v>286.84265074765619</v>
      </c>
      <c r="D14">
        <v>4.0809080197764427</v>
      </c>
      <c r="E14">
        <v>286.84265074765619</v>
      </c>
      <c r="F14">
        <v>4.0809080197764427</v>
      </c>
      <c r="K14">
        <v>25885.930180685438</v>
      </c>
      <c r="L14">
        <v>620.68247930032828</v>
      </c>
      <c r="M14">
        <v>25706.116389347397</v>
      </c>
      <c r="N14">
        <v>620.68247930032828</v>
      </c>
      <c r="O14">
        <v>25885.930180685438</v>
      </c>
      <c r="P14">
        <v>620.68247930032828</v>
      </c>
    </row>
    <row r="15" spans="1:16" x14ac:dyDescent="0.2">
      <c r="A15" t="s">
        <v>32</v>
      </c>
      <c r="B15" t="s">
        <v>22</v>
      </c>
      <c r="C15">
        <v>21.984132923648414</v>
      </c>
      <c r="D15">
        <v>2.8242201587897195</v>
      </c>
      <c r="E15">
        <v>21.984132923648414</v>
      </c>
      <c r="F15">
        <v>2.8242201587897195</v>
      </c>
      <c r="G15">
        <v>29.333333333333332</v>
      </c>
      <c r="H15">
        <v>0.47140452079103168</v>
      </c>
      <c r="I15">
        <v>29.333333333333332</v>
      </c>
      <c r="J15">
        <v>0.47140452079103168</v>
      </c>
    </row>
    <row r="16" spans="1:16" hidden="1" x14ac:dyDescent="0.2">
      <c r="A16" t="s">
        <v>32</v>
      </c>
      <c r="B16" t="s">
        <v>31</v>
      </c>
      <c r="C16">
        <v>175.0606646127371</v>
      </c>
      <c r="D16">
        <v>3.2320981181945481</v>
      </c>
      <c r="E16">
        <v>175.0606646127371</v>
      </c>
      <c r="F16">
        <v>3.2320981181945481</v>
      </c>
      <c r="K16">
        <v>11882.55722267786</v>
      </c>
      <c r="L16">
        <v>213.4996389623839</v>
      </c>
      <c r="M16">
        <v>11702.743431339817</v>
      </c>
      <c r="N16">
        <v>213.4996389623839</v>
      </c>
      <c r="O16">
        <v>11882.55722267786</v>
      </c>
      <c r="P16">
        <v>213.4996389623839</v>
      </c>
    </row>
    <row r="17" spans="1:16" x14ac:dyDescent="0.2">
      <c r="A17" t="s">
        <v>32</v>
      </c>
      <c r="B17" t="s">
        <v>23</v>
      </c>
      <c r="C17">
        <v>20.101383538892879</v>
      </c>
      <c r="D17">
        <v>2.0310415941867097</v>
      </c>
      <c r="E17">
        <v>20.101383538892879</v>
      </c>
      <c r="F17">
        <v>2.0310415941867097</v>
      </c>
      <c r="G17">
        <v>29.333333333333332</v>
      </c>
      <c r="H17">
        <v>0.94280904158206336</v>
      </c>
      <c r="I17">
        <v>29.333333333333332</v>
      </c>
      <c r="J17">
        <v>0.94280904158206336</v>
      </c>
    </row>
    <row r="18" spans="1:16" hidden="1" x14ac:dyDescent="0.2">
      <c r="A18" t="s">
        <v>32</v>
      </c>
      <c r="B18" t="s">
        <v>30</v>
      </c>
      <c r="C18">
        <v>286.25241084913586</v>
      </c>
      <c r="D18">
        <v>1.7396350872557784</v>
      </c>
      <c r="E18">
        <v>286.25241084913586</v>
      </c>
      <c r="F18">
        <v>1.7396350872557784</v>
      </c>
      <c r="K18">
        <v>26017.108805361204</v>
      </c>
      <c r="L18">
        <v>356.91682158138582</v>
      </c>
      <c r="M18">
        <v>25837.295014023159</v>
      </c>
      <c r="N18">
        <v>356.91682158138582</v>
      </c>
      <c r="O18">
        <v>26017.108805361204</v>
      </c>
      <c r="P18">
        <v>356.91682158138582</v>
      </c>
    </row>
    <row r="19" spans="1:16" x14ac:dyDescent="0.2">
      <c r="A19" t="s">
        <v>32</v>
      </c>
      <c r="B19" t="s">
        <v>22</v>
      </c>
      <c r="C19">
        <v>19.736262471592497</v>
      </c>
      <c r="D19">
        <v>0.5621669712520635</v>
      </c>
      <c r="E19">
        <v>19.736262471592497</v>
      </c>
      <c r="F19">
        <v>0.5621669712520635</v>
      </c>
      <c r="G19">
        <v>32.333333333333336</v>
      </c>
      <c r="H19">
        <v>1.699673171197595</v>
      </c>
      <c r="I19">
        <v>32.333333333333336</v>
      </c>
      <c r="J19">
        <v>1.699673171197595</v>
      </c>
    </row>
    <row r="20" spans="1:16" hidden="1" x14ac:dyDescent="0.2">
      <c r="A20" t="s">
        <v>32</v>
      </c>
      <c r="B20" t="s">
        <v>31</v>
      </c>
      <c r="C20">
        <v>178.77981830161124</v>
      </c>
      <c r="D20">
        <v>0.79728023108929125</v>
      </c>
      <c r="E20">
        <v>178.77981830161124</v>
      </c>
      <c r="F20">
        <v>0.79728023108929125</v>
      </c>
      <c r="K20">
        <v>11635.473458018774</v>
      </c>
      <c r="L20">
        <v>51.116193399015167</v>
      </c>
      <c r="M20">
        <v>11455.659666680731</v>
      </c>
      <c r="N20">
        <v>51.116193399015167</v>
      </c>
      <c r="O20">
        <v>11635.473458018774</v>
      </c>
      <c r="P20">
        <v>51.116193399015167</v>
      </c>
    </row>
    <row r="21" spans="1:16" x14ac:dyDescent="0.2">
      <c r="A21" t="s">
        <v>32</v>
      </c>
      <c r="B21" t="s">
        <v>24</v>
      </c>
      <c r="C21">
        <v>18.83889380203</v>
      </c>
      <c r="D21">
        <v>0.91188722141338685</v>
      </c>
      <c r="E21">
        <v>18.83889380203</v>
      </c>
      <c r="F21">
        <v>0.91188722141338685</v>
      </c>
      <c r="G21">
        <v>33.333333333333336</v>
      </c>
      <c r="H21">
        <v>1.8856180831641267</v>
      </c>
      <c r="I21">
        <v>33.333333333333336</v>
      </c>
      <c r="J21">
        <v>1.8856180831641267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B044CB-8ADF-6740-9C87-E962AC7D3B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benchmark</vt:lpstr>
      <vt:lpstr>mtplx</vt:lpstr>
      <vt:lpstr>mlx_lm</vt:lpstr>
      <vt:lpstr>llama.cpp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Kuckert | /Why</dc:creator>
  <cp:lastModifiedBy>Martin Kuckert</cp:lastModifiedBy>
  <dcterms:created xsi:type="dcterms:W3CDTF">2026-05-21T05:54:36Z</dcterms:created>
  <dcterms:modified xsi:type="dcterms:W3CDTF">2026-05-21T06:22:48Z</dcterms:modified>
</cp:coreProperties>
</file>